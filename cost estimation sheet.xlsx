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unction hall_Cost estimation sheet\"/>
    </mc:Choice>
  </mc:AlternateContent>
  <xr:revisionPtr revIDLastSave="0" documentId="13_ncr:1_{BEF33EE7-B204-40A7-8D04-DF80AC7D3708}" xr6:coauthVersionLast="47" xr6:coauthVersionMax="47" xr10:uidLastSave="{00000000-0000-0000-0000-000000000000}"/>
  <bookViews>
    <workbookView xWindow="-108" yWindow="-108" windowWidth="23256" windowHeight="12576" xr2:uid="{D2A1664D-BF18-40D5-9F87-F85FB40B5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5" i="1" l="1"/>
  <c r="C30" i="1"/>
  <c r="B30" i="1"/>
  <c r="C29" i="1"/>
  <c r="C28" i="1"/>
  <c r="C20" i="1"/>
  <c r="B20" i="1"/>
  <c r="C15" i="1"/>
  <c r="B15" i="1"/>
  <c r="B5" i="1"/>
  <c r="E5" i="1" s="1"/>
  <c r="Q37" i="1"/>
  <c r="Q41" i="1" s="1"/>
  <c r="Q30" i="1"/>
  <c r="Q29" i="1"/>
  <c r="Q22" i="1"/>
  <c r="Q21" i="1"/>
  <c r="Q15" i="1"/>
  <c r="Q14" i="1"/>
  <c r="Q7" i="1"/>
  <c r="Q6" i="1"/>
  <c r="I38" i="1"/>
  <c r="I37" i="1"/>
  <c r="D36" i="1"/>
  <c r="J37" i="1" s="1"/>
  <c r="L38" i="1"/>
  <c r="L37" i="1"/>
  <c r="D38" i="1"/>
  <c r="Q10" i="1" l="1"/>
  <c r="Q25" i="1"/>
  <c r="L41" i="1"/>
  <c r="E15" i="1"/>
  <c r="F15" i="1" s="1"/>
  <c r="Q33" i="1"/>
  <c r="B14" i="1"/>
  <c r="F14" i="1" s="1"/>
  <c r="E20" i="1"/>
  <c r="J22" i="1" s="1"/>
  <c r="L22" i="1" s="1"/>
  <c r="B13" i="1"/>
  <c r="E13" i="1" s="1"/>
  <c r="B28" i="1"/>
  <c r="D28" i="1" s="1"/>
  <c r="E28" i="1" s="1"/>
  <c r="B29" i="1"/>
  <c r="D29" i="1" s="1"/>
  <c r="E29" i="1" s="1"/>
  <c r="D30" i="1"/>
  <c r="E30" i="1" s="1"/>
  <c r="E22" i="1"/>
  <c r="J23" i="1" s="1"/>
  <c r="L23" i="1" s="1"/>
  <c r="Q17" i="1"/>
  <c r="J38" i="1"/>
  <c r="F5" i="1"/>
  <c r="J8" i="1" s="1"/>
  <c r="S41" i="1" l="1"/>
  <c r="E14" i="1"/>
  <c r="N44" i="1"/>
  <c r="J21" i="1"/>
  <c r="L21" i="1" s="1"/>
  <c r="L25" i="1" s="1"/>
  <c r="S25" i="1" s="1"/>
  <c r="F13" i="1"/>
  <c r="F16" i="1" s="1"/>
  <c r="J14" i="1" s="1"/>
  <c r="L14" i="1" s="1"/>
  <c r="E16" i="1"/>
  <c r="J15" i="1" s="1"/>
  <c r="L15" i="1" s="1"/>
  <c r="D31" i="1"/>
  <c r="E31" i="1"/>
  <c r="J31" i="1" s="1"/>
  <c r="L31" i="1" s="1"/>
  <c r="J7" i="1"/>
  <c r="L7" i="1" s="1"/>
  <c r="J6" i="1"/>
  <c r="L6" i="1" s="1"/>
  <c r="L8" i="1"/>
  <c r="J30" i="1" l="1"/>
  <c r="L30" i="1" s="1"/>
  <c r="L17" i="1"/>
  <c r="S17" i="1" s="1"/>
  <c r="L10" i="1"/>
  <c r="J29" i="1"/>
  <c r="L29" i="1" s="1"/>
  <c r="L33" i="1" l="1"/>
  <c r="S10" i="1"/>
  <c r="S33" i="1" l="1"/>
  <c r="H44" i="1"/>
  <c r="S43" i="1"/>
  <c r="S44" i="1" s="1"/>
  <c r="R48" i="1" s="1"/>
</calcChain>
</file>

<file path=xl/sharedStrings.xml><?xml version="1.0" encoding="utf-8"?>
<sst xmlns="http://schemas.openxmlformats.org/spreadsheetml/2006/main" count="144" uniqueCount="56">
  <si>
    <t>LENGTH(m)</t>
  </si>
  <si>
    <t>HEIGHT(m)</t>
  </si>
  <si>
    <t>THICKNESS(m)</t>
  </si>
  <si>
    <t>BRICKS</t>
  </si>
  <si>
    <t>PER(m³)</t>
  </si>
  <si>
    <t>TOTAL</t>
  </si>
  <si>
    <t>MATERIALS</t>
  </si>
  <si>
    <t>CEMENT BAGS</t>
  </si>
  <si>
    <t>SAND(m³)</t>
  </si>
  <si>
    <t>QUANTITY</t>
  </si>
  <si>
    <t>PER UNIT</t>
  </si>
  <si>
    <t>PRICE (₹)</t>
  </si>
  <si>
    <t xml:space="preserve">TOTAL MATERIAL COST </t>
  </si>
  <si>
    <t>PLASTERING</t>
  </si>
  <si>
    <t>PERIMETER(m)</t>
  </si>
  <si>
    <t>INTERIOR</t>
  </si>
  <si>
    <t>EXTERIOR</t>
  </si>
  <si>
    <t>FLOORING</t>
  </si>
  <si>
    <t>WIDTH(m)</t>
  </si>
  <si>
    <r>
      <t>AREA(m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</si>
  <si>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PAINTING</t>
  </si>
  <si>
    <r>
      <t>PER(m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</si>
  <si>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PUTTY(kg)</t>
  </si>
  <si>
    <t>PRIMER(L)</t>
  </si>
  <si>
    <t>PAINT(L)</t>
  </si>
  <si>
    <t>CEILING(LxB)</t>
  </si>
  <si>
    <t>DOORS</t>
  </si>
  <si>
    <t>WINDOWS</t>
  </si>
  <si>
    <t xml:space="preserve">FINAL VOL(m³) </t>
  </si>
  <si>
    <t xml:space="preserve">TOTAL </t>
  </si>
  <si>
    <r>
      <t>FINAL AREA(m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</si>
  <si>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VOLUME (m³)</t>
  </si>
  <si>
    <r>
      <t>TILES(m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</si>
  <si>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LABOUR COST</t>
  </si>
  <si>
    <t>PER DAY</t>
  </si>
  <si>
    <t>DAYS</t>
  </si>
  <si>
    <t>LABOUR</t>
  </si>
  <si>
    <t>SKILLED</t>
  </si>
  <si>
    <t>SEMI SKILLED</t>
  </si>
  <si>
    <t>CARPENTERY</t>
  </si>
  <si>
    <t>ELECTRECIAL</t>
  </si>
  <si>
    <t>OTHER COSTS</t>
  </si>
  <si>
    <t>MATERIAL COST FOR THE FUNCTION HALL(₹)</t>
  </si>
  <si>
    <t>LABOUR COST FOR THE FUNCTION HALL(₹)</t>
  </si>
  <si>
    <t>STAGE</t>
  </si>
  <si>
    <t>ALL WALLS</t>
  </si>
  <si>
    <t>PROFIT(5%)</t>
  </si>
  <si>
    <t>DIMENSIONS</t>
  </si>
  <si>
    <t xml:space="preserve">                                                           COST ESTIMATION SHEET OF FUNCTION HALL</t>
  </si>
  <si>
    <t>WALLS</t>
  </si>
  <si>
    <t>TOTAL BUDGET (₹)</t>
  </si>
  <si>
    <t>TOTAL MATERIAL COST (₹)</t>
  </si>
  <si>
    <t>TOTAL LABOUR(₹)</t>
  </si>
  <si>
    <t>TOTAL COST(₹)</t>
  </si>
  <si>
    <t>TOTAL OTHER COSTS(₹)</t>
  </si>
  <si>
    <t xml:space="preserve">         CONTINGENCY(10%)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</si>
</sst>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2" borderId="8" xfId="0" applyFont="1" applyFill="1" applyBorder="1"/>
    <xf numFmtId="0" fontId="1" fillId="0" borderId="8" xfId="0" applyFont="1" applyBorder="1"/>
    <xf numFmtId="0" fontId="1" fillId="2" borderId="9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3" borderId="8" xfId="0" applyFont="1" applyFill="1" applyBorder="1"/>
    <xf numFmtId="0" fontId="0" fillId="3" borderId="8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1" xfId="0" applyFill="1" applyBorder="1"/>
    <xf numFmtId="0" fontId="1" fillId="0" borderId="9" xfId="0" applyFont="1" applyBorder="1"/>
    <xf numFmtId="0" fontId="1" fillId="0" borderId="2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1" xfId="0" applyFont="1" applyBorder="1"/>
    <xf numFmtId="0" fontId="1" fillId="0" borderId="19" xfId="0" applyFont="1" applyBorder="1"/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/>
    <xf numFmtId="0" fontId="1" fillId="0" borderId="6" xfId="0" applyFont="1" applyBorder="1"/>
    <xf numFmtId="0" fontId="0" fillId="3" borderId="18" xfId="0" applyFill="1" applyBorder="1"/>
    <xf numFmtId="0" fontId="5" fillId="5" borderId="27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DA97-40B1-4BEC-B178-98502616DC86}">
  <dimension ref="A1:T50"/>
  <sheetViews>
    <sheetView tabSelected="1" zoomScaleNormal="100" workbookViewId="0">
      <selection activeCell="O13" sqref="O13"/>
    </sheetView>
  </sheetViews>
  <sheetFormatPr defaultRowHeight="14.4" x14ac:dyDescent="0.3"/>
  <cols>
    <col min="1" max="1" width="11.88671875" customWidth="1"/>
    <col min="2" max="2" width="13.109375" customWidth="1"/>
    <col min="3" max="3" width="9.88671875" customWidth="1"/>
    <col min="4" max="4" width="14.77734375" customWidth="1"/>
    <col min="5" max="5" width="14.109375" customWidth="1"/>
    <col min="6" max="6" width="13.44140625" customWidth="1"/>
    <col min="7" max="7" width="2.5546875" customWidth="1"/>
    <col min="8" max="8" width="13.33203125" customWidth="1"/>
    <col min="9" max="9" width="16.109375" customWidth="1"/>
    <col min="11" max="11" width="9.6640625" customWidth="1"/>
    <col min="12" max="12" width="10.5546875" bestFit="1" customWidth="1"/>
    <col min="13" max="13" width="2.109375" customWidth="1"/>
    <col min="14" max="14" width="12.33203125" customWidth="1"/>
    <col min="15" max="15" width="11.33203125" customWidth="1"/>
    <col min="16" max="16" width="11.88671875" customWidth="1"/>
    <col min="17" max="17" width="10.44140625" customWidth="1"/>
    <col min="18" max="18" width="9.6640625" customWidth="1"/>
    <col min="19" max="19" width="13.21875" customWidth="1"/>
  </cols>
  <sheetData>
    <row r="1" spans="1:19" ht="14.4" customHeight="1" x14ac:dyDescent="0.3">
      <c r="A1" s="51" t="s">
        <v>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28" t="s">
        <v>47</v>
      </c>
      <c r="Q1" s="5" t="s">
        <v>0</v>
      </c>
      <c r="R1" s="5" t="s">
        <v>18</v>
      </c>
      <c r="S1" s="7" t="s">
        <v>1</v>
      </c>
    </row>
    <row r="2" spans="1:19" ht="15" customHeight="1" thickBot="1" x14ac:dyDescent="0.3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11"/>
      <c r="Q2" s="29">
        <v>15</v>
      </c>
      <c r="R2" s="29">
        <v>10</v>
      </c>
      <c r="S2" s="30">
        <v>4</v>
      </c>
    </row>
    <row r="3" spans="1:19" ht="15" customHeight="1" thickBot="1" x14ac:dyDescent="0.55000000000000004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</row>
    <row r="4" spans="1:19" x14ac:dyDescent="0.3">
      <c r="A4" s="4" t="s">
        <v>49</v>
      </c>
      <c r="B4" s="5" t="s">
        <v>14</v>
      </c>
      <c r="C4" s="5" t="s">
        <v>1</v>
      </c>
      <c r="D4" s="5" t="s">
        <v>2</v>
      </c>
      <c r="E4" s="5" t="s">
        <v>31</v>
      </c>
      <c r="F4" s="5" t="s">
        <v>28</v>
      </c>
      <c r="G4" s="6"/>
      <c r="H4" s="5" t="s">
        <v>6</v>
      </c>
      <c r="I4" s="63" t="s">
        <v>9</v>
      </c>
      <c r="J4" s="63"/>
      <c r="K4" s="63" t="s">
        <v>11</v>
      </c>
      <c r="L4" s="63"/>
      <c r="M4" s="5"/>
      <c r="N4" s="5" t="s">
        <v>36</v>
      </c>
      <c r="O4" s="63" t="s">
        <v>33</v>
      </c>
      <c r="P4" s="63"/>
      <c r="Q4" s="63"/>
      <c r="R4" s="6"/>
      <c r="S4" s="7" t="s">
        <v>53</v>
      </c>
    </row>
    <row r="5" spans="1:19" x14ac:dyDescent="0.3">
      <c r="A5" s="19" t="s">
        <v>45</v>
      </c>
      <c r="B5" s="3">
        <f>2*(Q2+R2)</f>
        <v>50</v>
      </c>
      <c r="C5" s="3">
        <v>4</v>
      </c>
      <c r="D5" s="3">
        <v>2</v>
      </c>
      <c r="E5" s="3">
        <f>B5*C5*D5</f>
        <v>400</v>
      </c>
      <c r="F5" s="3">
        <f>E5-D36-D38</f>
        <v>370</v>
      </c>
      <c r="G5" s="2"/>
      <c r="H5" s="1"/>
      <c r="I5" s="1" t="s">
        <v>4</v>
      </c>
      <c r="J5" s="1" t="s">
        <v>5</v>
      </c>
      <c r="K5" s="1" t="s">
        <v>10</v>
      </c>
      <c r="L5" s="1" t="s">
        <v>5</v>
      </c>
      <c r="M5" s="1"/>
      <c r="N5" s="2"/>
      <c r="O5" s="1" t="s">
        <v>34</v>
      </c>
      <c r="P5" s="1" t="s">
        <v>35</v>
      </c>
      <c r="Q5" s="1" t="s">
        <v>5</v>
      </c>
      <c r="R5" s="2"/>
      <c r="S5" s="9"/>
    </row>
    <row r="6" spans="1:19" x14ac:dyDescent="0.3">
      <c r="A6" s="10"/>
      <c r="B6" s="2"/>
      <c r="C6" s="2"/>
      <c r="D6" s="2"/>
      <c r="E6" s="2"/>
      <c r="F6" s="2"/>
      <c r="G6" s="2"/>
      <c r="H6" s="1" t="s">
        <v>3</v>
      </c>
      <c r="I6" s="2">
        <v>500</v>
      </c>
      <c r="J6" s="2">
        <f>ROUNDUP(I6*F5,0)</f>
        <v>185000</v>
      </c>
      <c r="K6" s="2">
        <v>8</v>
      </c>
      <c r="L6" s="2">
        <f>J6*K6</f>
        <v>1480000</v>
      </c>
      <c r="M6" s="2"/>
      <c r="N6" s="1" t="s">
        <v>37</v>
      </c>
      <c r="O6" s="2">
        <v>900</v>
      </c>
      <c r="P6" s="2">
        <v>10</v>
      </c>
      <c r="Q6" s="2">
        <f>O6*P6</f>
        <v>9000</v>
      </c>
      <c r="R6" s="2"/>
      <c r="S6" s="9"/>
    </row>
    <row r="7" spans="1:19" x14ac:dyDescent="0.3">
      <c r="A7" s="10"/>
      <c r="B7" s="2"/>
      <c r="C7" s="2"/>
      <c r="D7" s="2"/>
      <c r="E7" s="2"/>
      <c r="F7" s="2"/>
      <c r="G7" s="2"/>
      <c r="H7" s="1" t="s">
        <v>7</v>
      </c>
      <c r="I7" s="2">
        <v>2.5</v>
      </c>
      <c r="J7" s="2">
        <f>ROUNDUP(I7*F5,0)</f>
        <v>925</v>
      </c>
      <c r="K7" s="2">
        <v>350</v>
      </c>
      <c r="L7" s="2">
        <f>J7*K7</f>
        <v>323750</v>
      </c>
      <c r="M7" s="2"/>
      <c r="N7" s="1" t="s">
        <v>38</v>
      </c>
      <c r="O7" s="2">
        <v>600</v>
      </c>
      <c r="P7" s="2">
        <v>10</v>
      </c>
      <c r="Q7" s="2">
        <f>P7*O7</f>
        <v>6000</v>
      </c>
      <c r="R7" s="2"/>
      <c r="S7" s="9"/>
    </row>
    <row r="8" spans="1:19" x14ac:dyDescent="0.3">
      <c r="A8" s="10"/>
      <c r="B8" s="2"/>
      <c r="C8" s="2"/>
      <c r="D8" s="2"/>
      <c r="E8" s="2"/>
      <c r="F8" s="2"/>
      <c r="G8" s="2"/>
      <c r="H8" s="1" t="s">
        <v>8</v>
      </c>
      <c r="I8" s="2">
        <v>0.34</v>
      </c>
      <c r="J8" s="2">
        <f>ROUNDUP(I8*F5,0)</f>
        <v>126</v>
      </c>
      <c r="K8" s="2">
        <v>50</v>
      </c>
      <c r="L8" s="2">
        <f>J8*K8</f>
        <v>6300</v>
      </c>
      <c r="M8" s="2"/>
      <c r="N8" s="2"/>
      <c r="O8" s="2"/>
      <c r="P8" s="2"/>
      <c r="Q8" s="2"/>
      <c r="R8" s="2"/>
      <c r="S8" s="9"/>
    </row>
    <row r="9" spans="1:19" x14ac:dyDescent="0.3">
      <c r="A9" s="10"/>
      <c r="B9" s="2"/>
      <c r="C9" s="2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9"/>
    </row>
    <row r="10" spans="1:19" ht="15" thickBot="1" x14ac:dyDescent="0.35">
      <c r="A10" s="11"/>
      <c r="B10" s="12"/>
      <c r="C10" s="12"/>
      <c r="D10" s="12"/>
      <c r="E10" s="12"/>
      <c r="F10" s="12"/>
      <c r="G10" s="12"/>
      <c r="H10" s="64" t="s">
        <v>51</v>
      </c>
      <c r="I10" s="64"/>
      <c r="J10" s="64"/>
      <c r="K10" s="64"/>
      <c r="L10" s="13">
        <f>SUM(L6:L8)</f>
        <v>1810050</v>
      </c>
      <c r="M10" s="14"/>
      <c r="N10" s="64" t="s">
        <v>52</v>
      </c>
      <c r="O10" s="64"/>
      <c r="P10" s="64"/>
      <c r="Q10" s="13">
        <f>Q6+Q7</f>
        <v>15000</v>
      </c>
      <c r="R10" s="12"/>
      <c r="S10" s="15">
        <f>Q10+L10</f>
        <v>1825050</v>
      </c>
    </row>
    <row r="11" spans="1:19" ht="15" thickBot="1" x14ac:dyDescent="0.35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70"/>
    </row>
    <row r="12" spans="1:19" x14ac:dyDescent="0.3">
      <c r="A12" s="4" t="s">
        <v>13</v>
      </c>
      <c r="B12" s="5" t="s">
        <v>14</v>
      </c>
      <c r="C12" s="5" t="s">
        <v>1</v>
      </c>
      <c r="D12" s="5" t="s">
        <v>2</v>
      </c>
      <c r="E12" s="5" t="s">
        <v>31</v>
      </c>
      <c r="F12" s="5" t="s">
        <v>28</v>
      </c>
      <c r="G12" s="6"/>
      <c r="H12" s="5" t="s">
        <v>6</v>
      </c>
      <c r="I12" s="63" t="s">
        <v>9</v>
      </c>
      <c r="J12" s="63"/>
      <c r="K12" s="63" t="s">
        <v>11</v>
      </c>
      <c r="L12" s="63"/>
      <c r="M12" s="5"/>
      <c r="N12" s="5" t="s">
        <v>36</v>
      </c>
      <c r="O12" s="63" t="s">
        <v>33</v>
      </c>
      <c r="P12" s="63"/>
      <c r="Q12" s="63"/>
      <c r="R12" s="6"/>
      <c r="S12" s="18"/>
    </row>
    <row r="13" spans="1:19" x14ac:dyDescent="0.3">
      <c r="A13" s="19" t="s">
        <v>15</v>
      </c>
      <c r="B13" s="2">
        <f>B5</f>
        <v>50</v>
      </c>
      <c r="C13" s="2">
        <v>4</v>
      </c>
      <c r="D13" s="2">
        <v>1.4999999999999999E-2</v>
      </c>
      <c r="E13" s="2">
        <f>B13*C13*D13</f>
        <v>3</v>
      </c>
      <c r="F13" s="2">
        <f>(B13*C13-D36-D38)*D13</f>
        <v>2.5499999999999998</v>
      </c>
      <c r="G13" s="2"/>
      <c r="H13" s="1"/>
      <c r="I13" s="1" t="s">
        <v>4</v>
      </c>
      <c r="J13" s="1" t="s">
        <v>5</v>
      </c>
      <c r="K13" s="1" t="s">
        <v>10</v>
      </c>
      <c r="L13" s="1" t="s">
        <v>5</v>
      </c>
      <c r="M13" s="1"/>
      <c r="N13" s="2"/>
      <c r="O13" s="1" t="s">
        <v>34</v>
      </c>
      <c r="P13" s="1" t="s">
        <v>35</v>
      </c>
      <c r="Q13" s="1" t="s">
        <v>5</v>
      </c>
      <c r="R13" s="2"/>
      <c r="S13" s="9"/>
    </row>
    <row r="14" spans="1:19" x14ac:dyDescent="0.3">
      <c r="A14" s="19" t="s">
        <v>16</v>
      </c>
      <c r="B14" s="2">
        <f>B5</f>
        <v>50</v>
      </c>
      <c r="C14" s="2">
        <v>4</v>
      </c>
      <c r="D14" s="2">
        <v>0.02</v>
      </c>
      <c r="E14" s="2">
        <f>B14*C14*D14</f>
        <v>4</v>
      </c>
      <c r="F14" s="2">
        <f>(B14*C14-D36-D38)*D14</f>
        <v>3.4</v>
      </c>
      <c r="G14" s="2"/>
      <c r="H14" s="1" t="s">
        <v>7</v>
      </c>
      <c r="I14" s="2">
        <v>8</v>
      </c>
      <c r="J14" s="2">
        <f>ROUNDUP(F16*I14,0)</f>
        <v>72</v>
      </c>
      <c r="K14" s="2">
        <v>350</v>
      </c>
      <c r="L14" s="2">
        <f>J14*K14</f>
        <v>25200</v>
      </c>
      <c r="M14" s="2"/>
      <c r="N14" s="1" t="s">
        <v>37</v>
      </c>
      <c r="O14" s="2">
        <v>900</v>
      </c>
      <c r="P14" s="2">
        <v>10</v>
      </c>
      <c r="Q14" s="2">
        <f>O14*P14</f>
        <v>9000</v>
      </c>
      <c r="R14" s="2"/>
      <c r="S14" s="9"/>
    </row>
    <row r="15" spans="1:19" x14ac:dyDescent="0.3">
      <c r="A15" s="19" t="s">
        <v>25</v>
      </c>
      <c r="B15" s="2">
        <f>Q2</f>
        <v>15</v>
      </c>
      <c r="C15" s="2">
        <f>R2</f>
        <v>10</v>
      </c>
      <c r="D15" s="2">
        <v>0.02</v>
      </c>
      <c r="E15" s="2">
        <f>B15*C15*D15</f>
        <v>3</v>
      </c>
      <c r="F15" s="2">
        <f>E15</f>
        <v>3</v>
      </c>
      <c r="G15" s="2"/>
      <c r="H15" s="1" t="s">
        <v>8</v>
      </c>
      <c r="I15" s="2">
        <v>1.1000000000000001</v>
      </c>
      <c r="J15" s="2">
        <f>ROUNDUP(E16*I15,0)</f>
        <v>11</v>
      </c>
      <c r="K15" s="2">
        <v>50</v>
      </c>
      <c r="L15" s="2">
        <f>J15*K15</f>
        <v>550</v>
      </c>
      <c r="M15" s="2"/>
      <c r="N15" s="1" t="s">
        <v>38</v>
      </c>
      <c r="O15" s="2">
        <v>600</v>
      </c>
      <c r="P15" s="2">
        <v>10</v>
      </c>
      <c r="Q15" s="2">
        <f>P15*O15</f>
        <v>6000</v>
      </c>
      <c r="R15" s="2"/>
      <c r="S15" s="9"/>
    </row>
    <row r="16" spans="1:19" x14ac:dyDescent="0.3">
      <c r="A16" s="61" t="s">
        <v>29</v>
      </c>
      <c r="B16" s="62"/>
      <c r="C16" s="62"/>
      <c r="D16" s="62"/>
      <c r="E16" s="2">
        <f>SUM(E13:E15)</f>
        <v>10</v>
      </c>
      <c r="F16" s="2">
        <f>SUM(F13:F15)</f>
        <v>8.9499999999999993</v>
      </c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1:19" ht="15" thickBot="1" x14ac:dyDescent="0.35">
      <c r="A17" s="11"/>
      <c r="B17" s="12"/>
      <c r="C17" s="12"/>
      <c r="D17" s="12"/>
      <c r="E17" s="12"/>
      <c r="F17" s="12"/>
      <c r="G17" s="12"/>
      <c r="H17" s="64" t="s">
        <v>51</v>
      </c>
      <c r="I17" s="64"/>
      <c r="J17" s="64"/>
      <c r="K17" s="64"/>
      <c r="L17" s="13">
        <f>SUM(L14:L15)</f>
        <v>25750</v>
      </c>
      <c r="M17" s="20"/>
      <c r="N17" s="64" t="s">
        <v>52</v>
      </c>
      <c r="O17" s="64"/>
      <c r="P17" s="64"/>
      <c r="Q17" s="13">
        <f>Q14+Q15</f>
        <v>15000</v>
      </c>
      <c r="R17" s="21"/>
      <c r="S17" s="15">
        <f>L17+Q17</f>
        <v>40750</v>
      </c>
    </row>
    <row r="18" spans="1:19" ht="15" thickBot="1" x14ac:dyDescent="0.3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</row>
    <row r="19" spans="1:19" x14ac:dyDescent="0.3">
      <c r="A19" s="4" t="s">
        <v>17</v>
      </c>
      <c r="B19" s="5" t="s">
        <v>0</v>
      </c>
      <c r="C19" s="5" t="s">
        <v>18</v>
      </c>
      <c r="D19" s="5" t="s">
        <v>2</v>
      </c>
      <c r="E19" s="5" t="s">
        <v>31</v>
      </c>
      <c r="F19" s="5"/>
      <c r="G19" s="6"/>
      <c r="H19" s="5" t="s">
        <v>6</v>
      </c>
      <c r="I19" s="63" t="s">
        <v>9</v>
      </c>
      <c r="J19" s="63"/>
      <c r="K19" s="63" t="s">
        <v>11</v>
      </c>
      <c r="L19" s="63"/>
      <c r="M19" s="5"/>
      <c r="N19" s="5" t="s">
        <v>36</v>
      </c>
      <c r="O19" s="63" t="s">
        <v>33</v>
      </c>
      <c r="P19" s="63"/>
      <c r="Q19" s="63"/>
      <c r="R19" s="6"/>
      <c r="S19" s="18"/>
    </row>
    <row r="20" spans="1:19" x14ac:dyDescent="0.3">
      <c r="A20" s="19" t="s">
        <v>17</v>
      </c>
      <c r="B20" s="3">
        <f>Q2</f>
        <v>15</v>
      </c>
      <c r="C20" s="3">
        <f>R2</f>
        <v>10</v>
      </c>
      <c r="D20" s="3">
        <v>0.2</v>
      </c>
      <c r="E20" s="3">
        <f>B20*C20*D20</f>
        <v>30</v>
      </c>
      <c r="F20" s="3"/>
      <c r="G20" s="2"/>
      <c r="H20" s="1"/>
      <c r="I20" s="1" t="s">
        <v>4</v>
      </c>
      <c r="J20" s="1" t="s">
        <v>5</v>
      </c>
      <c r="K20" s="1" t="s">
        <v>10</v>
      </c>
      <c r="L20" s="1" t="s">
        <v>5</v>
      </c>
      <c r="M20" s="1"/>
      <c r="N20" s="2"/>
      <c r="O20" s="1" t="s">
        <v>34</v>
      </c>
      <c r="P20" s="1" t="s">
        <v>35</v>
      </c>
      <c r="Q20" s="1" t="s">
        <v>5</v>
      </c>
      <c r="R20" s="2"/>
      <c r="S20" s="9"/>
    </row>
    <row r="21" spans="1:19" ht="16.2" x14ac:dyDescent="0.3">
      <c r="A21" s="10"/>
      <c r="B21" s="2"/>
      <c r="C21" s="2"/>
      <c r="D21" s="2"/>
      <c r="E21" s="1" t="s">
        <v>19</v>
      </c>
      <c r="F21" s="1"/>
      <c r="G21" s="2"/>
      <c r="H21" s="1" t="s">
        <v>7</v>
      </c>
      <c r="I21" s="2">
        <v>0.25</v>
      </c>
      <c r="J21" s="2">
        <f>ROUNDUP(I21*E20,0)</f>
        <v>8</v>
      </c>
      <c r="K21" s="2">
        <v>350</v>
      </c>
      <c r="L21" s="2">
        <f>J21*K21</f>
        <v>2800</v>
      </c>
      <c r="M21" s="2"/>
      <c r="N21" s="1" t="s">
        <v>37</v>
      </c>
      <c r="O21" s="2">
        <v>1100</v>
      </c>
      <c r="P21" s="2">
        <v>6</v>
      </c>
      <c r="Q21" s="2">
        <f>O21*P21</f>
        <v>6600</v>
      </c>
      <c r="R21" s="2"/>
      <c r="S21" s="9"/>
    </row>
    <row r="22" spans="1:19" x14ac:dyDescent="0.3">
      <c r="A22" s="10"/>
      <c r="B22" s="2"/>
      <c r="C22" s="2"/>
      <c r="D22" s="2"/>
      <c r="E22" s="3">
        <f>B20*C20</f>
        <v>150</v>
      </c>
      <c r="F22" s="3"/>
      <c r="G22" s="2"/>
      <c r="H22" s="1" t="s">
        <v>8</v>
      </c>
      <c r="I22" s="2">
        <v>2.5000000000000001E-2</v>
      </c>
      <c r="J22" s="2">
        <f>ROUNDUP(I22*E20,0)</f>
        <v>1</v>
      </c>
      <c r="K22" s="2">
        <v>50</v>
      </c>
      <c r="L22" s="2">
        <f>J22*K22</f>
        <v>50</v>
      </c>
      <c r="M22" s="2"/>
      <c r="N22" s="1" t="s">
        <v>38</v>
      </c>
      <c r="O22" s="2">
        <v>600</v>
      </c>
      <c r="P22" s="2">
        <v>6</v>
      </c>
      <c r="Q22" s="2">
        <f>P22*O22</f>
        <v>3600</v>
      </c>
      <c r="R22" s="2"/>
      <c r="S22" s="9"/>
    </row>
    <row r="23" spans="1:19" ht="16.2" x14ac:dyDescent="0.3">
      <c r="A23" s="10"/>
      <c r="B23" s="2"/>
      <c r="C23" s="2"/>
      <c r="D23" s="2"/>
      <c r="E23" s="2"/>
      <c r="F23" s="2"/>
      <c r="G23" s="2"/>
      <c r="H23" s="1" t="s">
        <v>32</v>
      </c>
      <c r="I23" s="2">
        <v>5</v>
      </c>
      <c r="J23" s="2">
        <f>ROUNDUP(E22/I23,0)</f>
        <v>30</v>
      </c>
      <c r="K23" s="2">
        <v>200</v>
      </c>
      <c r="L23" s="2">
        <f>K23*J23</f>
        <v>6000</v>
      </c>
      <c r="M23" s="2"/>
      <c r="N23" s="2"/>
      <c r="O23" s="2"/>
      <c r="P23" s="2"/>
      <c r="Q23" s="2"/>
      <c r="R23" s="2"/>
      <c r="S23" s="9"/>
    </row>
    <row r="24" spans="1:19" x14ac:dyDescent="0.3">
      <c r="A24" s="10"/>
      <c r="B24" s="2"/>
      <c r="C24" s="2"/>
      <c r="D24" s="2"/>
      <c r="E24" s="2"/>
      <c r="F24" s="2"/>
      <c r="G24" s="2"/>
      <c r="H24" s="1"/>
      <c r="I24" s="3"/>
      <c r="J24" s="2"/>
      <c r="K24" s="2"/>
      <c r="L24" s="2"/>
      <c r="M24" s="2"/>
      <c r="N24" s="2"/>
      <c r="O24" s="2"/>
      <c r="P24" s="2"/>
      <c r="Q24" s="2"/>
      <c r="R24" s="2"/>
      <c r="S24" s="9"/>
    </row>
    <row r="25" spans="1:19" ht="15" thickBot="1" x14ac:dyDescent="0.35">
      <c r="A25" s="11"/>
      <c r="B25" s="12"/>
      <c r="C25" s="12"/>
      <c r="D25" s="12"/>
      <c r="E25" s="12"/>
      <c r="F25" s="12"/>
      <c r="G25" s="12"/>
      <c r="H25" s="64" t="s">
        <v>12</v>
      </c>
      <c r="I25" s="64"/>
      <c r="J25" s="64"/>
      <c r="K25" s="64"/>
      <c r="L25" s="13">
        <f>SUM(L21:L22)</f>
        <v>2850</v>
      </c>
      <c r="M25" s="14"/>
      <c r="N25" s="64" t="s">
        <v>52</v>
      </c>
      <c r="O25" s="64"/>
      <c r="P25" s="64"/>
      <c r="Q25" s="13">
        <f>Q21+Q22</f>
        <v>10200</v>
      </c>
      <c r="R25" s="12"/>
      <c r="S25" s="15">
        <f>L25+Q25</f>
        <v>13050</v>
      </c>
    </row>
    <row r="26" spans="1:19" ht="15" thickBot="1" x14ac:dyDescent="0.3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0"/>
    </row>
    <row r="27" spans="1:19" ht="16.2" x14ac:dyDescent="0.3">
      <c r="A27" s="4" t="s">
        <v>20</v>
      </c>
      <c r="B27" s="5" t="s">
        <v>14</v>
      </c>
      <c r="C27" s="5" t="s">
        <v>1</v>
      </c>
      <c r="D27" s="5" t="s">
        <v>19</v>
      </c>
      <c r="E27" s="5" t="s">
        <v>30</v>
      </c>
      <c r="F27" s="6"/>
      <c r="G27" s="6"/>
      <c r="H27" s="5" t="s">
        <v>6</v>
      </c>
      <c r="I27" s="63" t="s">
        <v>9</v>
      </c>
      <c r="J27" s="63"/>
      <c r="K27" s="63" t="s">
        <v>11</v>
      </c>
      <c r="L27" s="63"/>
      <c r="M27" s="5"/>
      <c r="N27" s="5" t="s">
        <v>36</v>
      </c>
      <c r="O27" s="63" t="s">
        <v>33</v>
      </c>
      <c r="P27" s="63"/>
      <c r="Q27" s="63"/>
      <c r="R27" s="6"/>
      <c r="S27" s="18"/>
    </row>
    <row r="28" spans="1:19" ht="16.2" x14ac:dyDescent="0.3">
      <c r="A28" s="19" t="s">
        <v>15</v>
      </c>
      <c r="B28" s="2">
        <f>B5</f>
        <v>50</v>
      </c>
      <c r="C28" s="2">
        <f>S2</f>
        <v>4</v>
      </c>
      <c r="D28" s="2">
        <f>B28*C28</f>
        <v>200</v>
      </c>
      <c r="E28" s="2">
        <f>D28-D36-D38</f>
        <v>170</v>
      </c>
      <c r="F28" s="2"/>
      <c r="G28" s="2"/>
      <c r="H28" s="1"/>
      <c r="I28" s="1" t="s">
        <v>21</v>
      </c>
      <c r="J28" s="1" t="s">
        <v>5</v>
      </c>
      <c r="K28" s="1" t="s">
        <v>10</v>
      </c>
      <c r="L28" s="1" t="s">
        <v>5</v>
      </c>
      <c r="M28" s="1"/>
      <c r="N28" s="2"/>
      <c r="O28" s="1" t="s">
        <v>34</v>
      </c>
      <c r="P28" s="1" t="s">
        <v>35</v>
      </c>
      <c r="Q28" s="1" t="s">
        <v>5</v>
      </c>
      <c r="R28" s="2"/>
      <c r="S28" s="9"/>
    </row>
    <row r="29" spans="1:19" x14ac:dyDescent="0.3">
      <c r="A29" s="19" t="s">
        <v>16</v>
      </c>
      <c r="B29" s="2">
        <f>B5</f>
        <v>50</v>
      </c>
      <c r="C29" s="2">
        <f>S2</f>
        <v>4</v>
      </c>
      <c r="D29" s="2">
        <f>B29*C29</f>
        <v>200</v>
      </c>
      <c r="E29" s="2">
        <f>D29-D36-D38</f>
        <v>170</v>
      </c>
      <c r="F29" s="2"/>
      <c r="G29" s="2"/>
      <c r="H29" s="1" t="s">
        <v>22</v>
      </c>
      <c r="I29" s="2">
        <v>1.5</v>
      </c>
      <c r="J29" s="2">
        <f>ROUNDUP(I29*E31,0)</f>
        <v>735</v>
      </c>
      <c r="K29" s="2">
        <v>25</v>
      </c>
      <c r="L29" s="2">
        <f>K29*J29</f>
        <v>18375</v>
      </c>
      <c r="M29" s="2"/>
      <c r="N29" s="1" t="s">
        <v>37</v>
      </c>
      <c r="O29" s="2">
        <v>1100</v>
      </c>
      <c r="P29" s="2">
        <v>8</v>
      </c>
      <c r="Q29" s="2">
        <f>O29*P29</f>
        <v>8800</v>
      </c>
      <c r="R29" s="2"/>
      <c r="S29" s="9"/>
    </row>
    <row r="30" spans="1:19" x14ac:dyDescent="0.3">
      <c r="A30" s="19" t="s">
        <v>25</v>
      </c>
      <c r="B30" s="2">
        <f>Q2</f>
        <v>15</v>
      </c>
      <c r="C30" s="2">
        <f>R2</f>
        <v>10</v>
      </c>
      <c r="D30" s="2">
        <f>B30*C30</f>
        <v>150</v>
      </c>
      <c r="E30" s="2">
        <f>D30</f>
        <v>150</v>
      </c>
      <c r="F30" s="2"/>
      <c r="G30" s="2"/>
      <c r="H30" s="1" t="s">
        <v>23</v>
      </c>
      <c r="I30" s="2">
        <v>0.1</v>
      </c>
      <c r="J30" s="2">
        <f>ROUNDUP(I30*E31,0)</f>
        <v>49</v>
      </c>
      <c r="K30" s="2">
        <v>180</v>
      </c>
      <c r="L30" s="2">
        <f>K30*J30</f>
        <v>8820</v>
      </c>
      <c r="M30" s="2"/>
      <c r="N30" s="1" t="s">
        <v>38</v>
      </c>
      <c r="O30" s="2">
        <v>600</v>
      </c>
      <c r="P30" s="2">
        <v>8</v>
      </c>
      <c r="Q30" s="2">
        <f>P30*O30</f>
        <v>4800</v>
      </c>
      <c r="R30" s="2"/>
      <c r="S30" s="9"/>
    </row>
    <row r="31" spans="1:19" x14ac:dyDescent="0.3">
      <c r="A31" s="61" t="s">
        <v>29</v>
      </c>
      <c r="B31" s="62"/>
      <c r="C31" s="62"/>
      <c r="D31" s="2">
        <f>SUM(D28:D30)</f>
        <v>550</v>
      </c>
      <c r="E31" s="2">
        <f>SUM(E28:E30)</f>
        <v>490</v>
      </c>
      <c r="F31" s="2"/>
      <c r="G31" s="2"/>
      <c r="H31" s="1" t="s">
        <v>24</v>
      </c>
      <c r="I31" s="2">
        <v>0.3</v>
      </c>
      <c r="J31" s="2">
        <f>ROUNDUP(I31*E31,0)</f>
        <v>147</v>
      </c>
      <c r="K31" s="2">
        <v>300</v>
      </c>
      <c r="L31" s="2">
        <f>K31*J31</f>
        <v>44100</v>
      </c>
      <c r="M31" s="2"/>
      <c r="N31" s="2"/>
      <c r="O31" s="2"/>
      <c r="P31" s="2"/>
      <c r="Q31" s="2"/>
      <c r="R31" s="2"/>
      <c r="S31" s="9"/>
    </row>
    <row r="32" spans="1:19" x14ac:dyDescent="0.3">
      <c r="A32" s="61"/>
      <c r="B32" s="62"/>
      <c r="C32" s="6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9"/>
    </row>
    <row r="33" spans="1:20" ht="15" thickBot="1" x14ac:dyDescent="0.35">
      <c r="A33" s="11"/>
      <c r="B33" s="12"/>
      <c r="C33" s="12"/>
      <c r="D33" s="12"/>
      <c r="E33" s="12"/>
      <c r="F33" s="12"/>
      <c r="G33" s="12"/>
      <c r="H33" s="64" t="s">
        <v>51</v>
      </c>
      <c r="I33" s="64"/>
      <c r="J33" s="64"/>
      <c r="K33" s="64"/>
      <c r="L33" s="13">
        <f>L29+L30+L31</f>
        <v>71295</v>
      </c>
      <c r="M33" s="14"/>
      <c r="N33" s="64" t="s">
        <v>52</v>
      </c>
      <c r="O33" s="64"/>
      <c r="P33" s="64"/>
      <c r="Q33" s="13">
        <f>Q29+Q30</f>
        <v>13600</v>
      </c>
      <c r="R33" s="12"/>
      <c r="S33" s="15">
        <f>L33+Q33</f>
        <v>84895</v>
      </c>
    </row>
    <row r="34" spans="1:20" ht="15" thickBot="1" x14ac:dyDescent="0.35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0"/>
    </row>
    <row r="35" spans="1:20" ht="16.2" x14ac:dyDescent="0.3">
      <c r="A35" s="4" t="s">
        <v>27</v>
      </c>
      <c r="B35" s="5" t="s">
        <v>18</v>
      </c>
      <c r="C35" s="5" t="s">
        <v>1</v>
      </c>
      <c r="D35" s="5" t="s">
        <v>19</v>
      </c>
      <c r="E35" s="5"/>
      <c r="F35" s="5"/>
      <c r="G35" s="6"/>
      <c r="H35" s="5" t="s">
        <v>6</v>
      </c>
      <c r="I35" s="63" t="s">
        <v>19</v>
      </c>
      <c r="J35" s="63"/>
      <c r="K35" s="63" t="s">
        <v>11</v>
      </c>
      <c r="L35" s="63"/>
      <c r="M35" s="5"/>
      <c r="N35" s="17"/>
      <c r="O35" s="63" t="s">
        <v>41</v>
      </c>
      <c r="P35" s="63"/>
      <c r="Q35" s="63"/>
      <c r="R35" s="6"/>
      <c r="S35" s="18"/>
    </row>
    <row r="36" spans="1:20" x14ac:dyDescent="0.3">
      <c r="A36" s="8">
        <v>6</v>
      </c>
      <c r="B36" s="3">
        <v>2</v>
      </c>
      <c r="C36" s="3">
        <v>1.5</v>
      </c>
      <c r="D36" s="3">
        <f>A36*B36*C36</f>
        <v>18</v>
      </c>
      <c r="E36" s="3"/>
      <c r="F36" s="3"/>
      <c r="G36" s="2"/>
      <c r="H36" s="1"/>
      <c r="I36" s="1" t="s">
        <v>10</v>
      </c>
      <c r="J36" s="1" t="s">
        <v>5</v>
      </c>
      <c r="K36" s="1" t="s">
        <v>10</v>
      </c>
      <c r="L36" s="1" t="s">
        <v>5</v>
      </c>
      <c r="M36" s="1"/>
      <c r="N36" s="2"/>
      <c r="O36" s="16" t="s">
        <v>39</v>
      </c>
      <c r="P36" s="1" t="s">
        <v>40</v>
      </c>
      <c r="Q36" s="1" t="s">
        <v>5</v>
      </c>
      <c r="R36" s="2"/>
      <c r="S36" s="9"/>
    </row>
    <row r="37" spans="1:20" ht="16.2" x14ac:dyDescent="0.3">
      <c r="A37" s="19" t="s">
        <v>26</v>
      </c>
      <c r="B37" s="1" t="s">
        <v>18</v>
      </c>
      <c r="C37" s="1" t="s">
        <v>1</v>
      </c>
      <c r="D37" s="1" t="s">
        <v>19</v>
      </c>
      <c r="E37" s="2"/>
      <c r="F37" s="2"/>
      <c r="G37" s="2"/>
      <c r="H37" s="1" t="s">
        <v>27</v>
      </c>
      <c r="I37" s="2">
        <f>B36*C36</f>
        <v>3</v>
      </c>
      <c r="J37" s="2">
        <f>D36</f>
        <v>18</v>
      </c>
      <c r="K37" s="2">
        <v>1000</v>
      </c>
      <c r="L37" s="2">
        <f>K37*A36</f>
        <v>6000</v>
      </c>
      <c r="M37" s="2"/>
      <c r="N37" s="2"/>
      <c r="O37" s="2">
        <v>200000</v>
      </c>
      <c r="P37" s="2">
        <v>400000</v>
      </c>
      <c r="Q37" s="2">
        <f>O37+P37</f>
        <v>600000</v>
      </c>
      <c r="R37" s="2"/>
      <c r="S37" s="9"/>
    </row>
    <row r="38" spans="1:20" x14ac:dyDescent="0.3">
      <c r="A38" s="8">
        <v>1</v>
      </c>
      <c r="B38" s="3">
        <v>4</v>
      </c>
      <c r="C38" s="3">
        <v>3</v>
      </c>
      <c r="D38" s="3">
        <f>A38*B38*C38</f>
        <v>12</v>
      </c>
      <c r="E38" s="2"/>
      <c r="F38" s="2"/>
      <c r="G38" s="2"/>
      <c r="H38" s="1" t="s">
        <v>26</v>
      </c>
      <c r="I38" s="2">
        <f>B38*C38</f>
        <v>12</v>
      </c>
      <c r="J38" s="2">
        <f>D38</f>
        <v>12</v>
      </c>
      <c r="K38" s="2">
        <v>10000</v>
      </c>
      <c r="L38" s="2">
        <f>A38*K38</f>
        <v>10000</v>
      </c>
      <c r="M38" s="2"/>
      <c r="N38" s="2"/>
      <c r="O38" s="2"/>
      <c r="P38" s="2"/>
      <c r="Q38" s="2"/>
      <c r="R38" s="2"/>
      <c r="S38" s="9"/>
    </row>
    <row r="39" spans="1:20" x14ac:dyDescent="0.3">
      <c r="A39" s="8"/>
      <c r="B39" s="3"/>
      <c r="C39" s="3"/>
      <c r="D39" s="3"/>
      <c r="E39" s="2"/>
      <c r="F39" s="2"/>
      <c r="G39" s="2"/>
      <c r="H39" s="1" t="s">
        <v>44</v>
      </c>
      <c r="I39" s="2">
        <v>21</v>
      </c>
      <c r="J39" s="2">
        <v>21</v>
      </c>
      <c r="K39" s="2">
        <v>75000</v>
      </c>
      <c r="L39" s="2">
        <v>75000</v>
      </c>
      <c r="M39" s="2"/>
      <c r="N39" s="2"/>
      <c r="O39" s="2"/>
      <c r="P39" s="2"/>
      <c r="Q39" s="2"/>
      <c r="R39" s="2"/>
      <c r="S39" s="9"/>
    </row>
    <row r="40" spans="1:20" x14ac:dyDescent="0.3">
      <c r="A40" s="19"/>
      <c r="B40" s="2"/>
      <c r="C40" s="2"/>
      <c r="D40" s="2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9"/>
    </row>
    <row r="41" spans="1:20" ht="15" thickBot="1" x14ac:dyDescent="0.35">
      <c r="A41" s="11"/>
      <c r="B41" s="12"/>
      <c r="C41" s="12"/>
      <c r="D41" s="12"/>
      <c r="E41" s="12"/>
      <c r="F41" s="12"/>
      <c r="G41" s="12"/>
      <c r="H41" s="65" t="s">
        <v>51</v>
      </c>
      <c r="I41" s="66"/>
      <c r="J41" s="66"/>
      <c r="K41" s="67"/>
      <c r="L41" s="13">
        <f>L37+L38+L39</f>
        <v>91000</v>
      </c>
      <c r="M41" s="14"/>
      <c r="N41" s="65" t="s">
        <v>54</v>
      </c>
      <c r="O41" s="66"/>
      <c r="P41" s="67"/>
      <c r="Q41" s="13">
        <f>Q37</f>
        <v>600000</v>
      </c>
      <c r="R41" s="12"/>
      <c r="S41" s="15">
        <f>Q41+L41</f>
        <v>691000</v>
      </c>
    </row>
    <row r="42" spans="1:20" s="26" customFormat="1" ht="15" thickBot="1" x14ac:dyDescent="0.35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5"/>
      <c r="T42" s="37"/>
    </row>
    <row r="43" spans="1:20" s="2" customFormat="1" ht="17.399999999999999" x14ac:dyDescent="0.35">
      <c r="A43" s="33"/>
      <c r="B43" s="6"/>
      <c r="C43" s="6"/>
      <c r="D43" s="6"/>
      <c r="E43" s="6"/>
      <c r="F43" s="6"/>
      <c r="G43" s="6"/>
      <c r="H43" s="45" t="s">
        <v>42</v>
      </c>
      <c r="I43" s="46"/>
      <c r="J43" s="46"/>
      <c r="K43" s="46"/>
      <c r="L43" s="47"/>
      <c r="M43" s="17"/>
      <c r="N43" s="45" t="s">
        <v>43</v>
      </c>
      <c r="O43" s="46"/>
      <c r="P43" s="46"/>
      <c r="Q43" s="47"/>
      <c r="R43" s="34" t="s">
        <v>5</v>
      </c>
      <c r="S43" s="35">
        <f>S41+S33+S25+S17+S10</f>
        <v>2654745</v>
      </c>
      <c r="T43" s="23"/>
    </row>
    <row r="44" spans="1:20" ht="18.600000000000001" thickBot="1" x14ac:dyDescent="0.4">
      <c r="A44" s="10"/>
      <c r="B44" s="2"/>
      <c r="C44" s="2"/>
      <c r="D44" s="2"/>
      <c r="E44" s="2"/>
      <c r="F44" s="2"/>
      <c r="G44" s="2"/>
      <c r="H44" s="42">
        <f>L41+L33+L25+L17+L10</f>
        <v>2000945</v>
      </c>
      <c r="I44" s="43"/>
      <c r="J44" s="43"/>
      <c r="K44" s="43"/>
      <c r="L44" s="44"/>
      <c r="M44" s="2"/>
      <c r="N44" s="48">
        <f>Q41+Q33+Q25+Q10+Q17</f>
        <v>653800</v>
      </c>
      <c r="O44" s="49"/>
      <c r="P44" s="49"/>
      <c r="Q44" s="50"/>
      <c r="R44" s="1" t="s">
        <v>46</v>
      </c>
      <c r="S44" s="36">
        <f>S43*0.05</f>
        <v>132737.25</v>
      </c>
    </row>
    <row r="45" spans="1:20" s="2" customFormat="1" ht="15" thickBot="1" x14ac:dyDescent="0.3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71" t="s">
        <v>55</v>
      </c>
      <c r="R45" s="72"/>
      <c r="S45" s="27">
        <f>S41*0.1</f>
        <v>69100</v>
      </c>
      <c r="T45" s="23"/>
    </row>
    <row r="46" spans="1:20" ht="15" thickBot="1" x14ac:dyDescent="0.35">
      <c r="A46" s="31"/>
      <c r="B46" s="32"/>
      <c r="C46" s="32"/>
      <c r="D46" s="32"/>
      <c r="E46" s="32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5"/>
    </row>
    <row r="47" spans="1:20" ht="21" customHeight="1" x14ac:dyDescent="0.4">
      <c r="A47" s="2"/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2"/>
      <c r="R47" s="38" t="s">
        <v>50</v>
      </c>
      <c r="S47" s="39"/>
    </row>
    <row r="48" spans="1:20" ht="19.8" customHeight="1" thickBo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2"/>
      <c r="R48" s="40">
        <f>S10+S17+S25+S33+S41+S44+S45</f>
        <v>2856582.25</v>
      </c>
      <c r="S48" s="41"/>
    </row>
    <row r="49" spans="15:16" x14ac:dyDescent="0.3">
      <c r="O49" s="60"/>
      <c r="P49" s="60"/>
    </row>
    <row r="50" spans="15:16" x14ac:dyDescent="0.3">
      <c r="O50" s="60"/>
      <c r="P50" s="60"/>
    </row>
  </sheetData>
  <mergeCells count="44">
    <mergeCell ref="N25:P25"/>
    <mergeCell ref="O27:Q27"/>
    <mergeCell ref="N33:P33"/>
    <mergeCell ref="A32:C32"/>
    <mergeCell ref="Q45:R45"/>
    <mergeCell ref="A42:S42"/>
    <mergeCell ref="N43:Q43"/>
    <mergeCell ref="O4:Q4"/>
    <mergeCell ref="N10:P10"/>
    <mergeCell ref="O12:Q12"/>
    <mergeCell ref="N17:P17"/>
    <mergeCell ref="I35:J35"/>
    <mergeCell ref="I4:J4"/>
    <mergeCell ref="K4:L4"/>
    <mergeCell ref="H10:K10"/>
    <mergeCell ref="I12:J12"/>
    <mergeCell ref="K12:L12"/>
    <mergeCell ref="A11:S11"/>
    <mergeCell ref="A18:S18"/>
    <mergeCell ref="A26:S26"/>
    <mergeCell ref="A34:S34"/>
    <mergeCell ref="O35:Q35"/>
    <mergeCell ref="O19:Q19"/>
    <mergeCell ref="A1:O2"/>
    <mergeCell ref="A3:S3"/>
    <mergeCell ref="O49:P49"/>
    <mergeCell ref="O50:P50"/>
    <mergeCell ref="A16:D16"/>
    <mergeCell ref="K27:L27"/>
    <mergeCell ref="A31:C31"/>
    <mergeCell ref="H17:K17"/>
    <mergeCell ref="I19:J19"/>
    <mergeCell ref="K19:L19"/>
    <mergeCell ref="H25:K25"/>
    <mergeCell ref="H41:K41"/>
    <mergeCell ref="K35:L35"/>
    <mergeCell ref="H33:K33"/>
    <mergeCell ref="I27:J27"/>
    <mergeCell ref="N41:P41"/>
    <mergeCell ref="R47:S47"/>
    <mergeCell ref="R48:S48"/>
    <mergeCell ref="H44:L44"/>
    <mergeCell ref="H43:L43"/>
    <mergeCell ref="N44:Q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2026-06-06T21:43:04Z</dcterms:created>
  <dcterms:modified xsi:type="dcterms:W3CDTF">2026-06-13T03:52:12Z</dcterms:modified>
</cp:coreProperties>
</file>